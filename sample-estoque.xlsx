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BB2NL116\Downloads\reveste-professional\reveste-professional\"/>
    </mc:Choice>
  </mc:AlternateContent>
  <xr:revisionPtr revIDLastSave="0" documentId="8_{E7596AC8-7DAA-4E5B-A6E6-E198083F58D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stoque" sheetId="1" r:id="rId1"/>
    <sheet name="Resumo" sheetId="2" r:id="rId2"/>
    <sheet name="Como usar" sheetId="3" r:id="rId3"/>
  </sheets>
  <definedNames>
    <definedName name="_xlnm._FilterDatabase" localSheetId="0" hidden="1">Estoque!$A$3:$M$13</definedName>
    <definedName name="_xlnm.Print_Titles" localSheetId="0">Estoque!$1:$3</definedName>
  </definedNames>
  <calcPr calcId="191029"/>
  <fileRecoveryPr repairLoad="1"/>
</workbook>
</file>

<file path=xl/calcChain.xml><?xml version="1.0" encoding="utf-8"?>
<calcChain xmlns="http://schemas.openxmlformats.org/spreadsheetml/2006/main">
  <c r="D14" i="2" l="1"/>
  <c r="D12" i="2"/>
  <c r="D10" i="2"/>
  <c r="D6" i="2"/>
  <c r="D4" i="2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D8" i="2" s="1"/>
  <c r="J4" i="1"/>
</calcChain>
</file>

<file path=xl/sharedStrings.xml><?xml version="1.0" encoding="utf-8"?>
<sst xmlns="http://schemas.openxmlformats.org/spreadsheetml/2006/main" count="126" uniqueCount="105">
  <si>
    <t>REVESTE | CONTROLE DE ESTOQUE</t>
  </si>
  <si>
    <t>Planilha de demonstração • Atualize os campos de produto e estoque; importe a aba “Estoque” no painel administrativo.</t>
  </si>
  <si>
    <t>ID</t>
  </si>
  <si>
    <t>SKU</t>
  </si>
  <si>
    <t>Nome</t>
  </si>
  <si>
    <t>Categoria</t>
  </si>
  <si>
    <t>Tamanho</t>
  </si>
  <si>
    <t>Cor</t>
  </si>
  <si>
    <t>Preço</t>
  </si>
  <si>
    <t>Quantidade</t>
  </si>
  <si>
    <t>Estoque mínimo</t>
  </si>
  <si>
    <t>Status do estoque</t>
  </si>
  <si>
    <t>Tipo</t>
  </si>
  <si>
    <t>Vendedor</t>
  </si>
  <si>
    <t>Valor em estoque (R$)</t>
  </si>
  <si>
    <t>RV-0001</t>
  </si>
  <si>
    <t>Jaqueta Jeans Oversized Vintage</t>
  </si>
  <si>
    <t>Casacos</t>
  </si>
  <si>
    <t>G</t>
  </si>
  <si>
    <t>Azul Vintage</t>
  </si>
  <si>
    <t>revenda</t>
  </si>
  <si>
    <t>Studio Vintage SP</t>
  </si>
  <si>
    <t>RV-0002</t>
  </si>
  <si>
    <t>Vestido Linho Midi Sustentável</t>
  </si>
  <si>
    <t>Vestidos</t>
  </si>
  <si>
    <t>M</t>
  </si>
  <si>
    <t>Areia</t>
  </si>
  <si>
    <t>novo</t>
  </si>
  <si>
    <t>ReVeste Oficial</t>
  </si>
  <si>
    <t>RV-0003</t>
  </si>
  <si>
    <t>Camisa Algodão Egípcio Classic</t>
  </si>
  <si>
    <t>Camisas</t>
  </si>
  <si>
    <t>Branco</t>
  </si>
  <si>
    <t>RV-0004</t>
  </si>
  <si>
    <t>Calça Alfaiataria Pregas Retrô</t>
  </si>
  <si>
    <t>Calças</t>
  </si>
  <si>
    <t>40</t>
  </si>
  <si>
    <t>Cinza Chumbo</t>
  </si>
  <si>
    <t>Ateliê Retrô Urbano</t>
  </si>
  <si>
    <t>RV-0005</t>
  </si>
  <si>
    <t>Trench Coat Bege Elegance</t>
  </si>
  <si>
    <t>Bege Camel</t>
  </si>
  <si>
    <t>Camila Rocha (Cliente)</t>
  </si>
  <si>
    <t>RV-0006</t>
  </si>
  <si>
    <t>Bolsa de Couro Upcycling Artesanal</t>
  </si>
  <si>
    <t>Acessórios</t>
  </si>
  <si>
    <t>Único</t>
  </si>
  <si>
    <t>Caramelo</t>
  </si>
  <si>
    <t>EcoModa Brasil</t>
  </si>
  <si>
    <t>RV-0007</t>
  </si>
  <si>
    <t>Blazer Slim Fit Linho Rústico</t>
  </si>
  <si>
    <t>Terracota</t>
  </si>
  <si>
    <t>RV-0008</t>
  </si>
  <si>
    <t>Saia Plissada Midi Floral 90s</t>
  </si>
  <si>
    <t>Saias</t>
  </si>
  <si>
    <t>P</t>
  </si>
  <si>
    <t>Estampa Floral</t>
  </si>
  <si>
    <t>RV-0009</t>
  </si>
  <si>
    <t>Tênis Casual Sustentável Knit</t>
  </si>
  <si>
    <t>Calçados</t>
  </si>
  <si>
    <t>41</t>
  </si>
  <si>
    <t>Preto e Branco</t>
  </si>
  <si>
    <t>RV-0010</t>
  </si>
  <si>
    <t>Cardigan Tricot Chunky Artesanal</t>
  </si>
  <si>
    <t>Off-white</t>
  </si>
  <si>
    <t>Mariana Lima (Cliente)</t>
  </si>
  <si>
    <t>REVESTE | VISÃO GERAL DO ESTOQUE</t>
  </si>
  <si>
    <t>Indicadores calculados a partir da aba Estoque. Abra no Excel para atualizar as fórmulas.</t>
  </si>
  <si>
    <t>Produtos cadastrados</t>
  </si>
  <si>
    <t>Unidades em estoque</t>
  </si>
  <si>
    <t>Valor total em estoque</t>
  </si>
  <si>
    <t>Itens sem estoque</t>
  </si>
  <si>
    <t>Itens com estoque baixo</t>
  </si>
  <si>
    <t>Parceiros / vendedores</t>
  </si>
  <si>
    <t>GUIA RÁPIDO | PLANILHA REVESTE</t>
  </si>
  <si>
    <t>Etapa</t>
  </si>
  <si>
    <t>O que fazer</t>
  </si>
  <si>
    <t>Atenção</t>
  </si>
  <si>
    <t>Exemplo</t>
  </si>
  <si>
    <t>1. Atualizar estoque</t>
  </si>
  <si>
    <t>Edite preço, quantidade, categoria e vendedor na aba Estoque.</t>
  </si>
  <si>
    <t>Não apague a linha de cabeçalho.</t>
  </si>
  <si>
    <t>Quantidade = 12</t>
  </si>
  <si>
    <t>2. Importar no site</t>
  </si>
  <si>
    <t>Entre com perfil administrador e selecione a opção de importar planilha.</t>
  </si>
  <si>
    <t>Escolha este arquivo .xlsx; o site lê a primeira aba.</t>
  </si>
  <si>
    <t>Aba: Estoque</t>
  </si>
  <si>
    <t>3. Códigos</t>
  </si>
  <si>
    <t>Use ID/SKU para identificar cada produto. O importador aceita ID ou SKU.</t>
  </si>
  <si>
    <t>Mantenha os IDs estáveis para atualizar produtos existentes.</t>
  </si>
  <si>
    <t>4. Preços</t>
  </si>
  <si>
    <t>Digite o preço como número; a formatação exibe R$.</t>
  </si>
  <si>
    <t>Não digite “R$” dentro da célula.</t>
  </si>
  <si>
    <t>189,90</t>
  </si>
  <si>
    <t>5. Tipos de venda</t>
  </si>
  <si>
    <t>Use novo, revenda ou cliente_revenda.</t>
  </si>
  <si>
    <t>Evite variações e erros de digitação.</t>
  </si>
  <si>
    <t>6. Estoque mínimo</t>
  </si>
  <si>
    <t>A coluna Estoque mínimo ajuda a sinalizar reposição.</t>
  </si>
  <si>
    <t>A coluna Status é calculada automaticamente.</t>
  </si>
  <si>
    <t>mínimo = 3</t>
  </si>
  <si>
    <t>7. Segurança</t>
  </si>
  <si>
    <t>Faça uma cópia antes de grandes alterações.</t>
  </si>
  <si>
    <t>Esta é uma planilha de demonstração, não um banco de dados online.</t>
  </si>
  <si>
    <t>Backup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</si>
</sst>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26352D"/>
      <name val="Aptos"/>
    </font>
    <font>
      <b/>
      <sz val="10"/>
      <color rgb="FFFFFFFF"/>
      <name val="Aptos"/>
    </font>
    <font>
      <sz val="10"/>
      <color rgb="FF26352D"/>
      <name val="Aptos"/>
    </font>
    <font>
      <i/>
      <sz val="10"/>
      <color rgb="FF64736A"/>
      <name val="Aptos"/>
    </font>
    <font>
      <b/>
      <sz val="11"/>
      <color rgb="FFFFFFFF"/>
      <name val="Aptos"/>
    </font>
    <font>
      <b/>
      <sz val="16"/>
      <color rgb="FF153D2E"/>
      <name val="Aptos Display"/>
    </font>
    <font>
      <b/>
      <sz val="19"/>
      <color rgb="FFFFFFFF"/>
      <name val="Aptos Display"/>
    </font>
    <font>
      <b/>
      <sz val="11"/>
      <color rgb="FFFFFFFF"/>
      <name val="Calibri"/>
    </font>
    <font>
      <b/>
      <sz val="10"/>
      <color rgb="FF26352D"/>
      <name val="Aptos"/>
    </font>
  </fonts>
  <fills count="8">
    <fill>
      <patternFill patternType="none"/>
    </fill>
    <fill>
      <patternFill patternType="gray125"/>
    </fill>
    <fill>
      <patternFill patternType="solid">
        <fgColor rgb="FF153D2E"/>
      </patternFill>
    </fill>
    <fill>
      <patternFill patternType="solid">
        <fgColor rgb="FFF7F2E9"/>
      </patternFill>
    </fill>
    <fill>
      <patternFill patternType="solid">
        <fgColor rgb="FF187653"/>
      </patternFill>
    </fill>
    <fill>
      <patternFill patternType="solid">
        <fgColor rgb="FFFFFFFF"/>
      </patternFill>
    </fill>
    <fill>
      <patternFill patternType="solid">
        <fgColor rgb="FFF8FAF8"/>
      </patternFill>
    </fill>
    <fill>
      <patternFill patternType="solid">
        <fgColor rgb="FFE7F2E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68A55"/>
      </bottom>
      <diagonal/>
    </border>
    <border>
      <left/>
      <right/>
      <top/>
      <bottom style="thin">
        <color rgb="FFE3E8E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164" fontId="4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vertical="center" wrapText="1"/>
    </xf>
    <xf numFmtId="0" fontId="10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164" fontId="7" fillId="7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7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7653"/>
    <pageSetUpPr fitToPage="1"/>
  </sheetPr>
  <dimension ref="A1:M1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J21" sqref="J21"/>
    </sheetView>
  </sheetViews>
  <sheetFormatPr defaultRowHeight="15"/>
  <cols>
    <col min="1" max="1" width="8" customWidth="1"/>
    <col min="2" max="2" width="12" customWidth="1"/>
    <col min="3" max="3" width="38" customWidth="1"/>
    <col min="4" max="4" width="18" customWidth="1"/>
    <col min="5" max="5" width="12" customWidth="1"/>
    <col min="6" max="6" width="22" customWidth="1"/>
    <col min="7" max="7" width="15" customWidth="1"/>
    <col min="8" max="8" width="13" customWidth="1"/>
    <col min="9" max="9" width="15" customWidth="1"/>
    <col min="10" max="10" width="19" customWidth="1"/>
    <col min="11" max="11" width="16" customWidth="1"/>
    <col min="12" max="12" width="28" customWidth="1"/>
    <col min="13" max="13" width="22" customWidth="1"/>
  </cols>
  <sheetData>
    <row r="1" spans="1:13" ht="33.950000000000003" customHeight="1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6.1" customHeight="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33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4.95" customHeight="1">
      <c r="A4" s="2">
        <v>1</v>
      </c>
      <c r="B4" s="3" t="s">
        <v>15</v>
      </c>
      <c r="C4" s="4" t="s">
        <v>16</v>
      </c>
      <c r="D4" s="3" t="s">
        <v>17</v>
      </c>
      <c r="E4" s="3" t="s">
        <v>18</v>
      </c>
      <c r="F4" s="3" t="s">
        <v>19</v>
      </c>
      <c r="G4" s="5">
        <v>190.9</v>
      </c>
      <c r="H4" s="2">
        <v>12</v>
      </c>
      <c r="I4" s="2">
        <v>3</v>
      </c>
      <c r="J4" s="3" t="str">
        <f t="shared" ref="J4:J13" si="0">IF(H4=0,"Sem estoque",IF(H4&lt;=I4,"Estoque baixo","Disponível"))</f>
        <v>Disponível</v>
      </c>
      <c r="K4" s="3" t="s">
        <v>20</v>
      </c>
      <c r="L4" s="4" t="s">
        <v>21</v>
      </c>
      <c r="M4" s="5">
        <f t="shared" ref="M4:M13" si="1">G4*H4</f>
        <v>2290.8000000000002</v>
      </c>
    </row>
    <row r="5" spans="1:13" ht="24.95" customHeight="1">
      <c r="A5" s="6">
        <v>2</v>
      </c>
      <c r="B5" s="7" t="s">
        <v>22</v>
      </c>
      <c r="C5" s="8" t="s">
        <v>23</v>
      </c>
      <c r="D5" s="7" t="s">
        <v>24</v>
      </c>
      <c r="E5" s="7" t="s">
        <v>25</v>
      </c>
      <c r="F5" s="7" t="s">
        <v>26</v>
      </c>
      <c r="G5" s="9">
        <v>249</v>
      </c>
      <c r="H5" s="6">
        <v>8</v>
      </c>
      <c r="I5" s="6">
        <v>3</v>
      </c>
      <c r="J5" s="7" t="str">
        <f t="shared" si="0"/>
        <v>Disponível</v>
      </c>
      <c r="K5" s="7" t="s">
        <v>27</v>
      </c>
      <c r="L5" s="8" t="s">
        <v>28</v>
      </c>
      <c r="M5" s="9">
        <f t="shared" si="1"/>
        <v>1992</v>
      </c>
    </row>
    <row r="6" spans="1:13" ht="24.95" customHeight="1">
      <c r="A6" s="2">
        <v>3</v>
      </c>
      <c r="B6" s="3" t="s">
        <v>29</v>
      </c>
      <c r="C6" s="4" t="s">
        <v>30</v>
      </c>
      <c r="D6" s="3" t="s">
        <v>31</v>
      </c>
      <c r="E6" s="3" t="s">
        <v>25</v>
      </c>
      <c r="F6" s="3" t="s">
        <v>32</v>
      </c>
      <c r="G6" s="5">
        <v>159.5</v>
      </c>
      <c r="H6" s="2">
        <v>15</v>
      </c>
      <c r="I6" s="2">
        <v>3</v>
      </c>
      <c r="J6" s="3" t="str">
        <f t="shared" si="0"/>
        <v>Disponível</v>
      </c>
      <c r="K6" s="3" t="s">
        <v>27</v>
      </c>
      <c r="L6" s="4" t="s">
        <v>28</v>
      </c>
      <c r="M6" s="5">
        <f t="shared" si="1"/>
        <v>2392.5</v>
      </c>
    </row>
    <row r="7" spans="1:13" ht="24.95" customHeight="1">
      <c r="A7" s="6">
        <v>4</v>
      </c>
      <c r="B7" s="7" t="s">
        <v>33</v>
      </c>
      <c r="C7" s="8" t="s">
        <v>34</v>
      </c>
      <c r="D7" s="7" t="s">
        <v>35</v>
      </c>
      <c r="E7" s="7" t="s">
        <v>36</v>
      </c>
      <c r="F7" s="7" t="s">
        <v>37</v>
      </c>
      <c r="G7" s="9">
        <v>199.9</v>
      </c>
      <c r="H7" s="6">
        <v>9</v>
      </c>
      <c r="I7" s="6">
        <v>3</v>
      </c>
      <c r="J7" s="7" t="str">
        <f t="shared" si="0"/>
        <v>Disponível</v>
      </c>
      <c r="K7" s="7" t="s">
        <v>20</v>
      </c>
      <c r="L7" s="8" t="s">
        <v>38</v>
      </c>
      <c r="M7" s="9">
        <f t="shared" si="1"/>
        <v>1799.1000000000001</v>
      </c>
    </row>
    <row r="8" spans="1:13" ht="24.95" customHeight="1">
      <c r="A8" s="2">
        <v>5</v>
      </c>
      <c r="B8" s="3" t="s">
        <v>39</v>
      </c>
      <c r="C8" s="4" t="s">
        <v>40</v>
      </c>
      <c r="D8" s="3" t="s">
        <v>17</v>
      </c>
      <c r="E8" s="3" t="s">
        <v>25</v>
      </c>
      <c r="F8" s="3" t="s">
        <v>41</v>
      </c>
      <c r="G8" s="5">
        <v>389</v>
      </c>
      <c r="H8" s="2">
        <v>5</v>
      </c>
      <c r="I8" s="2">
        <v>3</v>
      </c>
      <c r="J8" s="3" t="str">
        <f t="shared" si="0"/>
        <v>Disponível</v>
      </c>
      <c r="K8" s="3" t="s">
        <v>20</v>
      </c>
      <c r="L8" s="4" t="s">
        <v>42</v>
      </c>
      <c r="M8" s="5">
        <f t="shared" si="1"/>
        <v>1945</v>
      </c>
    </row>
    <row r="9" spans="1:13" ht="24.95" customHeight="1">
      <c r="A9" s="6">
        <v>6</v>
      </c>
      <c r="B9" s="7" t="s">
        <v>43</v>
      </c>
      <c r="C9" s="8" t="s">
        <v>44</v>
      </c>
      <c r="D9" s="7" t="s">
        <v>45</v>
      </c>
      <c r="E9" s="7" t="s">
        <v>46</v>
      </c>
      <c r="F9" s="7" t="s">
        <v>47</v>
      </c>
      <c r="G9" s="9">
        <v>220</v>
      </c>
      <c r="H9" s="6">
        <v>7</v>
      </c>
      <c r="I9" s="6">
        <v>3</v>
      </c>
      <c r="J9" s="7" t="str">
        <f t="shared" si="0"/>
        <v>Disponível</v>
      </c>
      <c r="K9" s="7" t="s">
        <v>20</v>
      </c>
      <c r="L9" s="8" t="s">
        <v>48</v>
      </c>
      <c r="M9" s="9">
        <f t="shared" si="1"/>
        <v>1540</v>
      </c>
    </row>
    <row r="10" spans="1:13" ht="24.95" customHeight="1">
      <c r="A10" s="2">
        <v>7</v>
      </c>
      <c r="B10" s="3" t="s">
        <v>49</v>
      </c>
      <c r="C10" s="4" t="s">
        <v>50</v>
      </c>
      <c r="D10" s="3" t="s">
        <v>17</v>
      </c>
      <c r="E10" s="3" t="s">
        <v>18</v>
      </c>
      <c r="F10" s="3" t="s">
        <v>51</v>
      </c>
      <c r="G10" s="5">
        <v>329.9</v>
      </c>
      <c r="H10" s="2">
        <v>6</v>
      </c>
      <c r="I10" s="2">
        <v>3</v>
      </c>
      <c r="J10" s="3" t="str">
        <f t="shared" si="0"/>
        <v>Disponível</v>
      </c>
      <c r="K10" s="3" t="s">
        <v>27</v>
      </c>
      <c r="L10" s="4" t="s">
        <v>28</v>
      </c>
      <c r="M10" s="5">
        <f t="shared" si="1"/>
        <v>1979.3999999999999</v>
      </c>
    </row>
    <row r="11" spans="1:13" ht="24.95" customHeight="1">
      <c r="A11" s="6">
        <v>8</v>
      </c>
      <c r="B11" s="7" t="s">
        <v>52</v>
      </c>
      <c r="C11" s="8" t="s">
        <v>53</v>
      </c>
      <c r="D11" s="7" t="s">
        <v>54</v>
      </c>
      <c r="E11" s="7" t="s">
        <v>55</v>
      </c>
      <c r="F11" s="7" t="s">
        <v>56</v>
      </c>
      <c r="G11" s="9">
        <v>129.9</v>
      </c>
      <c r="H11" s="6">
        <v>14</v>
      </c>
      <c r="I11" s="6">
        <v>3</v>
      </c>
      <c r="J11" s="7" t="str">
        <f t="shared" si="0"/>
        <v>Disponível</v>
      </c>
      <c r="K11" s="7" t="s">
        <v>20</v>
      </c>
      <c r="L11" s="8" t="s">
        <v>21</v>
      </c>
      <c r="M11" s="9">
        <f t="shared" si="1"/>
        <v>1818.6000000000001</v>
      </c>
    </row>
    <row r="12" spans="1:13" ht="24.95" customHeight="1">
      <c r="A12" s="2">
        <v>9</v>
      </c>
      <c r="B12" s="3" t="s">
        <v>57</v>
      </c>
      <c r="C12" s="4" t="s">
        <v>58</v>
      </c>
      <c r="D12" s="3" t="s">
        <v>59</v>
      </c>
      <c r="E12" s="3" t="s">
        <v>60</v>
      </c>
      <c r="F12" s="3" t="s">
        <v>61</v>
      </c>
      <c r="G12" s="5">
        <v>279.89999999999998</v>
      </c>
      <c r="H12" s="2">
        <v>10</v>
      </c>
      <c r="I12" s="2">
        <v>3</v>
      </c>
      <c r="J12" s="3" t="str">
        <f t="shared" si="0"/>
        <v>Disponível</v>
      </c>
      <c r="K12" s="3" t="s">
        <v>27</v>
      </c>
      <c r="L12" s="4" t="s">
        <v>28</v>
      </c>
      <c r="M12" s="5">
        <f t="shared" si="1"/>
        <v>2799</v>
      </c>
    </row>
    <row r="13" spans="1:13" ht="24.95" customHeight="1">
      <c r="A13" s="6">
        <v>10</v>
      </c>
      <c r="B13" s="7" t="s">
        <v>62</v>
      </c>
      <c r="C13" s="8" t="s">
        <v>63</v>
      </c>
      <c r="D13" s="7" t="s">
        <v>17</v>
      </c>
      <c r="E13" s="7" t="s">
        <v>46</v>
      </c>
      <c r="F13" s="7" t="s">
        <v>64</v>
      </c>
      <c r="G13" s="9">
        <v>179</v>
      </c>
      <c r="H13" s="6">
        <v>11</v>
      </c>
      <c r="I13" s="6">
        <v>3</v>
      </c>
      <c r="J13" s="7" t="str">
        <f t="shared" si="0"/>
        <v>Disponível</v>
      </c>
      <c r="K13" s="7" t="s">
        <v>20</v>
      </c>
      <c r="L13" s="8" t="s">
        <v>65</v>
      </c>
      <c r="M13" s="9">
        <f t="shared" si="1"/>
        <v>1969</v>
      </c>
    </row>
  </sheetData>
  <autoFilter ref="A3:M13" xr:uid="{00000000-0009-0000-0000-000000000000}"/>
  <mergeCells count="2">
    <mergeCell ref="A2:M2"/>
    <mergeCell ref="A1:M1"/>
  </mergeCells>
  <conditionalFormatting sqref="H4:H13">
    <cfRule type="cellIs" dxfId="2" priority="1" operator="equal">
      <formula>0</formula>
    </cfRule>
  </conditionalFormatting>
  <conditionalFormatting sqref="J4:J13">
    <cfRule type="cellIs" dxfId="1" priority="2" operator="equal">
      <formula>"Estoque baixo"</formula>
    </cfRule>
    <cfRule type="cellIs" dxfId="0" priority="3" operator="equal">
      <formula>"Disponível"</formula>
    </cfRule>
  </conditionalFormatting>
  <dataValidations count="3">
    <dataValidation type="list" allowBlank="1" sqref="K4:K213" xr:uid="{00000000-0002-0000-0000-000000000000}">
      <formula1>"novo,revenda,cliente_revenda"</formula1>
    </dataValidation>
    <dataValidation type="whole" operator="greaterThanOrEqual" sqref="H4:I213" xr:uid="{00000000-0002-0000-0000-000001000000}">
      <formula1>0</formula1>
    </dataValidation>
    <dataValidation type="decimal" operator="greaterThanOrEqual" sqref="G4:G213" xr:uid="{00000000-0002-0000-0000-000002000000}">
      <formula1>0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68A55"/>
  </sheetPr>
  <dimension ref="A1:F1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3" width="16" customWidth="1"/>
    <col min="4" max="4" width="20" customWidth="1"/>
    <col min="5" max="5" width="16" customWidth="1"/>
    <col min="6" max="6" width="14" customWidth="1"/>
  </cols>
  <sheetData>
    <row r="1" spans="1:6" ht="36" customHeight="1">
      <c r="A1" s="22" t="s">
        <v>66</v>
      </c>
      <c r="B1" s="16"/>
      <c r="C1" s="16"/>
      <c r="D1" s="16"/>
      <c r="E1" s="16"/>
      <c r="F1" s="16"/>
    </row>
    <row r="2" spans="1:6" ht="24.95" customHeight="1">
      <c r="A2" s="19" t="s">
        <v>67</v>
      </c>
      <c r="B2" s="16"/>
      <c r="C2" s="16"/>
      <c r="D2" s="16"/>
      <c r="E2" s="16"/>
      <c r="F2" s="16"/>
    </row>
    <row r="4" spans="1:6" ht="35.1" customHeight="1">
      <c r="A4" s="21" t="s">
        <v>68</v>
      </c>
      <c r="B4" s="16"/>
      <c r="C4" s="16"/>
      <c r="D4" s="20">
        <f>COUNTA(Estoque!C4:C13)</f>
        <v>10</v>
      </c>
      <c r="E4" s="16"/>
    </row>
    <row r="6" spans="1:6" ht="35.1" customHeight="1">
      <c r="A6" s="21" t="s">
        <v>69</v>
      </c>
      <c r="B6" s="16"/>
      <c r="C6" s="16"/>
      <c r="D6" s="20">
        <f>SUM(Estoque!H4:H13)</f>
        <v>97</v>
      </c>
      <c r="E6" s="16"/>
    </row>
    <row r="8" spans="1:6" ht="35.1" customHeight="1">
      <c r="A8" s="21" t="s">
        <v>70</v>
      </c>
      <c r="B8" s="16"/>
      <c r="C8" s="16"/>
      <c r="D8" s="18">
        <f>SUM(Estoque!M4:M13)</f>
        <v>20525.400000000001</v>
      </c>
      <c r="E8" s="16"/>
    </row>
    <row r="10" spans="1:6" ht="35.1" customHeight="1">
      <c r="A10" s="21" t="s">
        <v>71</v>
      </c>
      <c r="B10" s="16"/>
      <c r="C10" s="16"/>
      <c r="D10" s="20">
        <f>COUNTIF(Estoque!J4:J13,"Sem estoque")</f>
        <v>0</v>
      </c>
      <c r="E10" s="16"/>
    </row>
    <row r="12" spans="1:6" ht="35.1" customHeight="1">
      <c r="A12" s="21" t="s">
        <v>72</v>
      </c>
      <c r="B12" s="16"/>
      <c r="C12" s="16"/>
      <c r="D12" s="20">
        <f>COUNTIF(Estoque!J4:J13,"Estoque baixo")</f>
        <v>0</v>
      </c>
      <c r="E12" s="16"/>
    </row>
    <row r="14" spans="1:6" ht="35.1" customHeight="1">
      <c r="A14" s="21" t="s">
        <v>73</v>
      </c>
      <c r="B14" s="16"/>
      <c r="C14" s="16"/>
      <c r="D14" s="20">
        <f>SUMPRODUCT((Estoque!L4:L13&lt;&gt;"")/COUNTIF(Estoque!L4:L13,Estoque!L4:L13&amp;""))</f>
        <v>6</v>
      </c>
      <c r="E14" s="16"/>
    </row>
  </sheetData>
  <mergeCells count="14">
    <mergeCell ref="A1:F1"/>
    <mergeCell ref="A8:C8"/>
    <mergeCell ref="A6:C6"/>
    <mergeCell ref="A14:C14"/>
    <mergeCell ref="D14:E14"/>
    <mergeCell ref="D4:E4"/>
    <mergeCell ref="A12:C12"/>
    <mergeCell ref="A4:C4"/>
    <mergeCell ref="D12:E12"/>
    <mergeCell ref="D8:E8"/>
    <mergeCell ref="A2:F2"/>
    <mergeCell ref="D6:E6"/>
    <mergeCell ref="A10:C10"/>
    <mergeCell ref="D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68A55"/>
  </sheetPr>
  <dimension ref="A1:D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55" customWidth="1"/>
    <col min="3" max="3" width="58" customWidth="1"/>
    <col min="4" max="4" width="24" customWidth="1"/>
  </cols>
  <sheetData>
    <row r="1" spans="1:4" ht="36" customHeight="1">
      <c r="A1" s="23" t="s">
        <v>74</v>
      </c>
      <c r="B1" s="16"/>
      <c r="C1" s="16"/>
      <c r="D1" s="16"/>
    </row>
    <row r="3" spans="1:4">
      <c r="A3" s="10" t="s">
        <v>75</v>
      </c>
      <c r="B3" s="10" t="s">
        <v>76</v>
      </c>
      <c r="C3" s="10" t="s">
        <v>77</v>
      </c>
      <c r="D3" s="10" t="s">
        <v>78</v>
      </c>
    </row>
    <row r="4" spans="1:4" ht="42.95" customHeight="1">
      <c r="A4" s="11" t="s">
        <v>79</v>
      </c>
      <c r="B4" s="12" t="s">
        <v>80</v>
      </c>
      <c r="C4" s="12" t="s">
        <v>81</v>
      </c>
      <c r="D4" s="12" t="s">
        <v>82</v>
      </c>
    </row>
    <row r="5" spans="1:4" ht="42.95" customHeight="1">
      <c r="A5" s="13" t="s">
        <v>83</v>
      </c>
      <c r="B5" s="14" t="s">
        <v>84</v>
      </c>
      <c r="C5" s="14" t="s">
        <v>85</v>
      </c>
      <c r="D5" s="14" t="s">
        <v>86</v>
      </c>
    </row>
    <row r="6" spans="1:4" ht="42.95" customHeight="1">
      <c r="A6" s="11" t="s">
        <v>87</v>
      </c>
      <c r="B6" s="12" t="s">
        <v>88</v>
      </c>
      <c r="C6" s="12" t="s">
        <v>89</v>
      </c>
      <c r="D6" s="12" t="s">
        <v>15</v>
      </c>
    </row>
    <row r="7" spans="1:4" ht="42.95" customHeight="1">
      <c r="A7" s="13" t="s">
        <v>90</v>
      </c>
      <c r="B7" s="14" t="s">
        <v>91</v>
      </c>
      <c r="C7" s="14" t="s">
        <v>92</v>
      </c>
      <c r="D7" s="14" t="s">
        <v>93</v>
      </c>
    </row>
    <row r="8" spans="1:4" ht="42.95" customHeight="1">
      <c r="A8" s="11" t="s">
        <v>94</v>
      </c>
      <c r="B8" s="12" t="s">
        <v>95</v>
      </c>
      <c r="C8" s="12" t="s">
        <v>96</v>
      </c>
      <c r="D8" s="12" t="s">
        <v>20</v>
      </c>
    </row>
    <row r="9" spans="1:4" ht="42.95" customHeight="1">
      <c r="A9" s="13" t="s">
        <v>97</v>
      </c>
      <c r="B9" s="14" t="s">
        <v>98</v>
      </c>
      <c r="C9" s="14" t="s">
        <v>99</v>
      </c>
      <c r="D9" s="14" t="s">
        <v>100</v>
      </c>
    </row>
    <row r="10" spans="1:4" ht="42.95" customHeight="1">
      <c r="A10" s="11" t="s">
        <v>101</v>
      </c>
      <c r="B10" s="12" t="s">
        <v>102</v>
      </c>
      <c r="C10" s="12" t="s">
        <v>103</v>
      </c>
      <c r="D10" s="12" t="s">
        <v>104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Estoque</vt:lpstr>
      <vt:lpstr>Resumo</vt:lpstr>
      <vt:lpstr>Como usar</vt:lpstr>
      <vt:lpstr>Estoque!Titulos_de_impressao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ReVeste — Controle Profissional de Estoque</dc:title>
  <dc:subject>Inventário, status de estoque e valores</dc:subject>
  <dc:creator>Develup | ReVeste</dc:creator>
  <cp:lastModifiedBy>EBB2NL116</cp:lastModifiedBy>
  <dcterms:created xsi:type="dcterms:W3CDTF">2026-10-26T11:09:33Z</dcterms:created>
  <dcterms:modified xsi:type="dcterms:W3CDTF">2026-10-26T11:16:39Z</dcterms:modified>
</cp:coreProperties>
</file>